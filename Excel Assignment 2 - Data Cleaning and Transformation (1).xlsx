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inrajnair/Downloads/"/>
    </mc:Choice>
  </mc:AlternateContent>
  <xr:revisionPtr revIDLastSave="0" documentId="13_ncr:1_{9F303130-521C-C84C-94FD-BF63F15F02EF}" xr6:coauthVersionLast="47" xr6:coauthVersionMax="47" xr10:uidLastSave="{00000000-0000-0000-0000-000000000000}"/>
  <bookViews>
    <workbookView xWindow="0" yWindow="660" windowWidth="29400" windowHeight="1694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G3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7" i="3"/>
  <c r="G28" i="3"/>
  <c r="G29" i="3"/>
  <c r="G30" i="3"/>
  <c r="G31" i="3"/>
  <c r="G3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2" i="3"/>
  <c r="E33" i="3"/>
  <c r="G7" i="3" l="1"/>
  <c r="G21" i="3"/>
  <c r="G26" i="3"/>
</calcChain>
</file>

<file path=xl/sharedStrings.xml><?xml version="1.0" encoding="utf-8"?>
<sst xmlns="http://schemas.openxmlformats.org/spreadsheetml/2006/main" count="357" uniqueCount="153">
  <si>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</si>
  <si>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</si>
  <si>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</si>
  <si>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</si>
  <si>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</si>
  <si>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</si>
  <si>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</si>
  <si>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</si>
  <si>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</si>
  <si>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</si>
  <si>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</si>
  <si>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</si>
  <si>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</si>
  <si>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</si>
  <si>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</si>
  <si>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</si>
  <si>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</si>
  <si>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</si>
  <si>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</si>
  <si>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</si>
  <si>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</si>
  <si>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</si>
  <si>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</si>
  <si>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</si>
  <si>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</si>
  <si>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</si>
  <si>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</si>
  <si>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</si>
  <si>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</si>
  <si>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</si>
  <si>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</si>
  <si>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</si>
  <si>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</si>
  <si>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</si>
  <si>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</si>
  <si>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</si>
  <si>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</si>
  <si>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</si>
  <si>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</si>
  <si>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</si>
  <si>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</si>
  <si>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</si>
  <si>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</si>
  <si>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</si>
  <si>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</si>
  <si>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</si>
  <si>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</si>
  <si>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</si>
  <si>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</si>
  <si>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</si>
  <si>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</si>
  <si>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</si>
  <si>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</si>
  <si>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</si>
  <si>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</si>
  <si>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</si>
  <si>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</si>
  <si>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</si>
  <si>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</si>
  <si>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</si>
  <si>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</si>
  <si>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</si>
  <si>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</si>
  <si>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</si>
  <si>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</si>
  <si>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</si>
  <si>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</si>
  <si>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</si>
  <si>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</si>
  <si>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</si>
  <si>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</si>
  <si>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</si>
  <si>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</si>
  <si>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</si>
  <si>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</si>
  <si>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</si>
  <si>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</si>
  <si>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</si>
  <si>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</si>
  <si>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</si>
  <si>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</si>
  <si>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</si>
  <si>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</si>
  <si>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</si>
  <si>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</si>
  <si>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</si>
  <si>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</si>
  <si>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</si>
  <si>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</si>
  <si>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</si>
  <si>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</si>
  <si>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</si>
  <si>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</si>
  <si>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</si>
  <si>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</si>
  <si>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</si>
  <si>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</si>
  <si>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</si>
  <si>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</si>
  <si>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</si>
  <si>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</si>
  <si>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</si>
  <si>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</si>
  <si>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</si>
  <si>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</si>
  <si>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</si>
  <si>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</si>
  <si>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</si>
  <si>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</si>
  <si>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</si>
  <si>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</si>
  <si>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</si>
  <si>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</si>
  <si>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</si>
  <si>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</si>
  <si>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</si>
  <si>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</t>
  </si>
  <si>
    <t>Price Replacing</t>
  </si>
  <si>
    <t xml:space="preserve"> </t>
  </si>
  <si>
    <t>Head Phone</t>
  </si>
  <si>
    <t>Smart Phone</t>
  </si>
  <si>
    <t>Head Phones</t>
  </si>
  <si>
    <t>Smart Watch</t>
  </si>
  <si>
    <t>Sun Glasses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</si>
  <si>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</si>
  <si>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</si>
  <si>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</si>
  <si>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</si>
  <si>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</si>
  <si>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</si>
  <si>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</si>
  <si>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</si>
  <si>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</si>
  <si>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</si>
  <si>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</si>
  <si>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</si>
  <si>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</si>
  <si>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</si>
  <si>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</si>
  <si>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</si>
  <si>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</si>
  <si>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</si>
  <si>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</si>
  <si>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</si>
  <si>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</si>
  <si>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</si>
  <si>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</si>
  <si>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</si>
  <si>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Date</t>
  </si>
  <si>
    <t>Month</t>
  </si>
  <si>
    <t>Country Code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</si>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</sst>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A2" sqref="A2"/>
    </sheetView>
  </sheetViews>
  <sheetFormatPr baseColWidth="10" defaultColWidth="12.6640625" defaultRowHeight="15" customHeight="1" x14ac:dyDescent="0.15"/>
  <cols>
    <col min="1" max="1" width="12.6640625" customWidth="1"/>
    <col min="2" max="2" width="7.5" customWidth="1"/>
    <col min="3" max="6" width="12.6640625" customWidth="1"/>
  </cols>
  <sheetData>
    <row r="1" spans="1:11" ht="15.75" customHeight="1" x14ac:dyDescent="0.15">
      <c r="A1" s="1" t="s">
        <v>0</v>
      </c>
    </row>
    <row r="2" spans="1:11" ht="15.75" customHeight="1" x14ac:dyDescent="0.15"/>
    <row r="3" spans="1:11" ht="15.75" customHeight="1" x14ac:dyDescent="0.2">
      <c r="B3" s="2" t="s">
        <v>1</v>
      </c>
    </row>
    <row r="4" spans="1:11" ht="15.75" customHeight="1" x14ac:dyDescent="0.2">
      <c r="C4" s="3" t="s">
        <v>2</v>
      </c>
    </row>
    <row r="5" spans="1:11" ht="15.75" customHeight="1" x14ac:dyDescent="0.2">
      <c r="B5" s="4"/>
      <c r="C5" s="3" t="s">
        <v>3</v>
      </c>
    </row>
    <row r="6" spans="1:11" ht="15.75" customHeight="1" x14ac:dyDescent="0.2">
      <c r="B6" s="4"/>
    </row>
    <row r="7" spans="1:11" ht="15.75" customHeight="1" x14ac:dyDescent="0.2">
      <c r="B7" s="2" t="s">
        <v>4</v>
      </c>
    </row>
    <row r="8" spans="1:11" ht="15.75" customHeight="1" x14ac:dyDescent="0.2">
      <c r="C8" s="3" t="s">
        <v>5</v>
      </c>
    </row>
    <row r="9" spans="1:11" ht="15.75" customHeight="1" x14ac:dyDescent="0.2">
      <c r="C9" s="3" t="s">
        <v>6</v>
      </c>
    </row>
    <row r="10" spans="1:11" ht="15.75" customHeight="1" x14ac:dyDescent="0.2">
      <c r="C10" s="3" t="s">
        <v>7</v>
      </c>
    </row>
    <row r="11" spans="1:11" ht="15.75" customHeight="1" x14ac:dyDescent="0.2">
      <c r="B11" s="4"/>
    </row>
    <row r="12" spans="1:11" ht="15.75" customHeight="1" x14ac:dyDescent="0.2">
      <c r="B12" s="2" t="s">
        <v>8</v>
      </c>
    </row>
    <row r="13" spans="1:11" ht="15.75" customHeight="1" x14ac:dyDescent="0.2">
      <c r="B13" s="2"/>
      <c r="C13" s="3" t="s">
        <v>9</v>
      </c>
    </row>
    <row r="14" spans="1:11" ht="15.75" customHeight="1" x14ac:dyDescent="0.15"/>
    <row r="15" spans="1:11" ht="15.75" customHeight="1" x14ac:dyDescent="0.2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1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1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C39" sqref="C39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16" ht="15.75" customHeight="1" x14ac:dyDescent="0.1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1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1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1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1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1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1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1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1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1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1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1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1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1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1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1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1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1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1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1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1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1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1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1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1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1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1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1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1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1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1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1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15"/>
    <row r="37" spans="1:6" ht="15.75" customHeight="1" x14ac:dyDescent="0.15"/>
    <row r="38" spans="1:6" ht="15.75" customHeight="1" x14ac:dyDescent="0.15"/>
    <row r="39" spans="1:6" ht="15.75" customHeight="1" x14ac:dyDescent="0.15"/>
    <row r="40" spans="1:6" ht="15.75" customHeight="1" x14ac:dyDescent="0.15"/>
    <row r="41" spans="1:6" ht="15.75" customHeight="1" x14ac:dyDescent="0.15"/>
    <row r="42" spans="1:6" ht="15.75" customHeight="1" x14ac:dyDescent="0.15"/>
    <row r="43" spans="1:6" ht="15.75" customHeight="1" x14ac:dyDescent="0.15"/>
    <row r="44" spans="1:6" ht="15.75" customHeight="1" x14ac:dyDescent="0.15"/>
    <row r="45" spans="1:6" ht="15.75" customHeight="1" x14ac:dyDescent="0.15"/>
    <row r="46" spans="1:6" ht="15.75" customHeight="1" x14ac:dyDescent="0.15"/>
    <row r="47" spans="1:6" ht="15.75" customHeight="1" x14ac:dyDescent="0.15"/>
    <row r="48" spans="1: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35EA-F1A4-334C-B5E3-A17654258A00}">
  <dimension ref="A1:M33"/>
  <sheetViews>
    <sheetView tabSelected="1" workbookViewId="0">
      <selection activeCell="G36" sqref="G36"/>
    </sheetView>
  </sheetViews>
  <sheetFormatPr baseColWidth="10" defaultRowHeight="13" x14ac:dyDescent="0.15"/>
  <cols>
    <col min="1" max="1" width="12.83203125" customWidth="1"/>
    <col min="2" max="2" width="18.5" customWidth="1"/>
    <col min="4" max="4" width="20.33203125" customWidth="1"/>
    <col min="5" max="5" width="10.83203125" style="12"/>
    <col min="7" max="7" width="19.5" customWidth="1"/>
    <col min="12" max="12" width="16.6640625" customWidth="1"/>
  </cols>
  <sheetData>
    <row r="1" spans="1:13" x14ac:dyDescent="0.15">
      <c r="A1" s="7" t="s">
        <v>19</v>
      </c>
      <c r="B1" s="7" t="s">
        <v>20</v>
      </c>
      <c r="C1" s="7" t="s">
        <v>21</v>
      </c>
      <c r="D1" s="7" t="s">
        <v>152</v>
      </c>
      <c r="E1" s="9" t="s">
        <v>22</v>
      </c>
      <c r="F1" s="7" t="s">
        <v>116</v>
      </c>
      <c r="G1" s="7" t="s">
        <v>117</v>
      </c>
      <c r="H1" s="7" t="s">
        <v>23</v>
      </c>
      <c r="I1" s="7" t="s">
        <v>24</v>
      </c>
      <c r="J1" s="7" t="s">
        <v>148</v>
      </c>
      <c r="K1" s="7" t="s">
        <v>149</v>
      </c>
      <c r="L1" s="7" t="s">
        <v>151</v>
      </c>
      <c r="M1" s="7" t="s">
        <v>150</v>
      </c>
    </row>
    <row r="2" spans="1:13" x14ac:dyDescent="0.15">
      <c r="A2" s="5" t="s">
        <v>25</v>
      </c>
      <c r="B2" s="5" t="s">
        <v>61</v>
      </c>
      <c r="C2" s="5" t="s">
        <v>27</v>
      </c>
      <c r="D2" s="5" t="str">
        <f>C2&amp;" "&amp;B2</f>
        <v>Dell Laptop</v>
      </c>
      <c r="E2" s="10">
        <v>1000</v>
      </c>
      <c r="F2" s="5" t="b">
        <f>ISBLANK(E2)</f>
        <v>0</v>
      </c>
      <c r="G2" s="5">
        <f>IF(ISBLANK(E2),AVERAGE(E2:E35),E2)</f>
        <v>1000</v>
      </c>
      <c r="H2" s="5">
        <v>30</v>
      </c>
      <c r="I2" s="5" t="s">
        <v>28</v>
      </c>
      <c r="J2">
        <v>28</v>
      </c>
      <c r="K2" t="s">
        <v>124</v>
      </c>
      <c r="L2" t="str">
        <f>J2&amp;" "&amp;K2</f>
        <v>28 JAN</v>
      </c>
      <c r="M2" t="s">
        <v>125</v>
      </c>
    </row>
    <row r="3" spans="1:13" x14ac:dyDescent="0.15">
      <c r="A3" s="8" t="s">
        <v>29</v>
      </c>
      <c r="B3" s="8" t="s">
        <v>30</v>
      </c>
      <c r="C3" s="8" t="s">
        <v>31</v>
      </c>
      <c r="D3" s="5" t="str">
        <f t="shared" ref="D3:D32" si="0">C3&amp;" "&amp;B3</f>
        <v>Nike Sneakers</v>
      </c>
      <c r="E3" s="11">
        <v>80</v>
      </c>
      <c r="F3" s="5" t="b">
        <f>ISBLANK(E3)</f>
        <v>0</v>
      </c>
      <c r="G3" s="5">
        <f>IF(ISBLANK(E3),AVERAGE(E3:E36),E3)</f>
        <v>80</v>
      </c>
      <c r="H3" s="8">
        <v>15</v>
      </c>
      <c r="I3" s="8" t="s">
        <v>32</v>
      </c>
      <c r="J3">
        <v>15</v>
      </c>
      <c r="K3" t="s">
        <v>126</v>
      </c>
      <c r="L3" t="str">
        <f t="shared" ref="L3:L32" si="1">J3&amp;" "&amp;K3</f>
        <v>15 FEB</v>
      </c>
      <c r="M3" t="s">
        <v>125</v>
      </c>
    </row>
    <row r="4" spans="1:13" x14ac:dyDescent="0.15">
      <c r="A4" s="5" t="s">
        <v>33</v>
      </c>
      <c r="B4" s="5" t="s">
        <v>34</v>
      </c>
      <c r="C4" s="5" t="s">
        <v>35</v>
      </c>
      <c r="D4" s="5" t="str">
        <f t="shared" si="0"/>
        <v>Keurig Coffee Maker</v>
      </c>
      <c r="E4" s="10">
        <v>130</v>
      </c>
      <c r="F4" s="5" t="b">
        <f>ISBLANK(E4)</f>
        <v>0</v>
      </c>
      <c r="G4" s="5">
        <f>IF(ISBLANK(E4),AVERAGE(E4:E37),E4)</f>
        <v>130</v>
      </c>
      <c r="H4" s="5">
        <v>40</v>
      </c>
      <c r="I4" s="5" t="s">
        <v>36</v>
      </c>
      <c r="J4">
        <v>3</v>
      </c>
      <c r="K4" t="s">
        <v>127</v>
      </c>
      <c r="L4" t="str">
        <f t="shared" si="1"/>
        <v>3 MAR</v>
      </c>
      <c r="M4" t="s">
        <v>125</v>
      </c>
    </row>
    <row r="5" spans="1:13" x14ac:dyDescent="0.15">
      <c r="A5" s="8" t="s">
        <v>37</v>
      </c>
      <c r="B5" s="8" t="s">
        <v>120</v>
      </c>
      <c r="C5" s="8" t="s">
        <v>39</v>
      </c>
      <c r="D5" s="5" t="str">
        <f t="shared" si="0"/>
        <v>Samsung Smart Phone</v>
      </c>
      <c r="E5" s="11">
        <v>900</v>
      </c>
      <c r="F5" s="5" t="b">
        <f>ISBLANK(E5)</f>
        <v>0</v>
      </c>
      <c r="G5" s="5">
        <f>IF(ISBLANK(E5),AVERAGE(E5:E38),E5)</f>
        <v>900</v>
      </c>
      <c r="H5" s="8">
        <v>25</v>
      </c>
      <c r="I5" s="8" t="s">
        <v>28</v>
      </c>
      <c r="J5">
        <v>11</v>
      </c>
      <c r="K5" t="s">
        <v>128</v>
      </c>
      <c r="L5" t="str">
        <f t="shared" si="1"/>
        <v>11 APR</v>
      </c>
      <c r="M5" t="s">
        <v>125</v>
      </c>
    </row>
    <row r="6" spans="1:13" x14ac:dyDescent="0.15">
      <c r="A6" s="5" t="s">
        <v>40</v>
      </c>
      <c r="B6" s="5" t="s">
        <v>41</v>
      </c>
      <c r="C6" s="5" t="s">
        <v>42</v>
      </c>
      <c r="D6" s="5" t="str">
        <f t="shared" si="0"/>
        <v>North Face Backpack</v>
      </c>
      <c r="E6" s="10">
        <v>70</v>
      </c>
      <c r="F6" s="5" t="b">
        <f>ISBLANK(E6)</f>
        <v>0</v>
      </c>
      <c r="G6" s="5">
        <f>IF(ISBLANK(E6),AVERAGE(E6:E39),E6)</f>
        <v>70</v>
      </c>
      <c r="H6" s="5">
        <v>20</v>
      </c>
      <c r="I6" s="5" t="s">
        <v>32</v>
      </c>
      <c r="J6">
        <v>22</v>
      </c>
      <c r="K6" t="s">
        <v>129</v>
      </c>
      <c r="L6" t="str">
        <f t="shared" si="1"/>
        <v>22 MAY</v>
      </c>
      <c r="M6" t="s">
        <v>125</v>
      </c>
    </row>
    <row r="7" spans="1:13" x14ac:dyDescent="0.15">
      <c r="A7" s="8" t="s">
        <v>43</v>
      </c>
      <c r="B7" s="8" t="s">
        <v>119</v>
      </c>
      <c r="C7" s="8" t="s">
        <v>45</v>
      </c>
      <c r="D7" s="5" t="str">
        <f t="shared" si="0"/>
        <v>Sony Head Phone</v>
      </c>
      <c r="E7" s="11"/>
      <c r="F7" s="5" t="b">
        <f>ISBLANK(E7)</f>
        <v>1</v>
      </c>
      <c r="G7" s="5">
        <f>IF(ISBLANK(E7),AVERAGE(E7:E40),E7)</f>
        <v>256.79166666666669</v>
      </c>
      <c r="H7" s="8">
        <v>45</v>
      </c>
      <c r="I7" s="8" t="s">
        <v>28</v>
      </c>
      <c r="J7">
        <v>7</v>
      </c>
      <c r="K7" t="s">
        <v>130</v>
      </c>
      <c r="L7" t="str">
        <f t="shared" si="1"/>
        <v>7 JUN</v>
      </c>
      <c r="M7" t="s">
        <v>131</v>
      </c>
    </row>
    <row r="8" spans="1:13" x14ac:dyDescent="0.15">
      <c r="A8" s="5" t="s">
        <v>47</v>
      </c>
      <c r="B8" s="5" t="s">
        <v>48</v>
      </c>
      <c r="C8" s="5" t="s">
        <v>49</v>
      </c>
      <c r="D8" s="5" t="str">
        <f t="shared" si="0"/>
        <v>Adidas T-shirt</v>
      </c>
      <c r="E8" s="10">
        <v>30</v>
      </c>
      <c r="F8" s="5" t="b">
        <f>ISBLANK(E8)</f>
        <v>0</v>
      </c>
      <c r="G8" s="5">
        <f>IF(ISBLANK(E8),AVERAGE(E8:E41),E8)</f>
        <v>30</v>
      </c>
      <c r="H8" s="5">
        <v>5</v>
      </c>
      <c r="I8" s="5" t="s">
        <v>32</v>
      </c>
      <c r="J8">
        <v>19</v>
      </c>
      <c r="K8" t="s">
        <v>132</v>
      </c>
      <c r="L8" t="str">
        <f t="shared" si="1"/>
        <v>19 JUL</v>
      </c>
      <c r="M8" t="s">
        <v>131</v>
      </c>
    </row>
    <row r="9" spans="1:13" x14ac:dyDescent="0.15">
      <c r="A9" s="8" t="s">
        <v>50</v>
      </c>
      <c r="B9" s="8" t="s">
        <v>51</v>
      </c>
      <c r="C9" s="8" t="s">
        <v>52</v>
      </c>
      <c r="D9" s="5" t="str">
        <f t="shared" si="0"/>
        <v>Ninja Blender</v>
      </c>
      <c r="E9" s="11">
        <v>90</v>
      </c>
      <c r="F9" s="5" t="b">
        <f>ISBLANK(E9)</f>
        <v>0</v>
      </c>
      <c r="G9" s="5">
        <f>IF(ISBLANK(E9),AVERAGE(E9:E42),E9)</f>
        <v>90</v>
      </c>
      <c r="H9" s="8">
        <v>35</v>
      </c>
      <c r="I9" s="8" t="s">
        <v>36</v>
      </c>
      <c r="J9">
        <v>23</v>
      </c>
      <c r="K9" t="s">
        <v>133</v>
      </c>
      <c r="L9" t="str">
        <f t="shared" si="1"/>
        <v>23 AUG</v>
      </c>
      <c r="M9" t="s">
        <v>131</v>
      </c>
    </row>
    <row r="10" spans="1:13" x14ac:dyDescent="0.15">
      <c r="A10" s="5" t="s">
        <v>53</v>
      </c>
      <c r="B10" s="5" t="s">
        <v>54</v>
      </c>
      <c r="C10" s="5" t="s">
        <v>55</v>
      </c>
      <c r="D10" s="5" t="str">
        <f t="shared" si="0"/>
        <v>Apple Tablet</v>
      </c>
      <c r="E10" s="10">
        <v>500</v>
      </c>
      <c r="F10" s="5" t="b">
        <f>ISBLANK(E10)</f>
        <v>0</v>
      </c>
      <c r="G10" s="5">
        <f>IF(ISBLANK(E10),AVERAGE(E10:E43),E10)</f>
        <v>500</v>
      </c>
      <c r="H10" s="5">
        <v>50</v>
      </c>
      <c r="I10" s="5" t="s">
        <v>28</v>
      </c>
      <c r="J10">
        <v>5</v>
      </c>
      <c r="K10" t="s">
        <v>134</v>
      </c>
      <c r="L10" t="str">
        <f t="shared" si="1"/>
        <v>5 SEP</v>
      </c>
      <c r="M10" t="s">
        <v>131</v>
      </c>
    </row>
    <row r="11" spans="1:13" x14ac:dyDescent="0.15">
      <c r="A11" s="8" t="s">
        <v>56</v>
      </c>
      <c r="B11" s="8" t="s">
        <v>57</v>
      </c>
      <c r="C11" s="8" t="s">
        <v>58</v>
      </c>
      <c r="D11" s="5" t="str">
        <f t="shared" si="0"/>
        <v>Timberland Hiking Boots</v>
      </c>
      <c r="E11" s="11">
        <v>130</v>
      </c>
      <c r="F11" s="5" t="b">
        <f>ISBLANK(E11)</f>
        <v>0</v>
      </c>
      <c r="G11" s="5">
        <f>IF(ISBLANK(E11),AVERAGE(E11:E44),E11)</f>
        <v>130</v>
      </c>
      <c r="H11" s="8">
        <v>10</v>
      </c>
      <c r="I11" s="8" t="s">
        <v>59</v>
      </c>
      <c r="J11">
        <v>14</v>
      </c>
      <c r="K11" t="s">
        <v>135</v>
      </c>
      <c r="L11" t="str">
        <f t="shared" si="1"/>
        <v>14 OCT</v>
      </c>
      <c r="M11" t="s">
        <v>131</v>
      </c>
    </row>
    <row r="12" spans="1:13" x14ac:dyDescent="0.15">
      <c r="A12" s="5" t="s">
        <v>60</v>
      </c>
      <c r="B12" s="5" t="s">
        <v>61</v>
      </c>
      <c r="C12" s="5" t="s">
        <v>62</v>
      </c>
      <c r="D12" s="5" t="str">
        <f t="shared" si="0"/>
        <v>HP Laptop</v>
      </c>
      <c r="E12" s="10">
        <v>950</v>
      </c>
      <c r="F12" s="5" t="b">
        <f>ISBLANK(E12)</f>
        <v>0</v>
      </c>
      <c r="G12" s="5">
        <f>IF(ISBLANK(E12),AVERAGE(E12:E45),E12)</f>
        <v>950</v>
      </c>
      <c r="H12" s="5">
        <v>25</v>
      </c>
      <c r="I12" s="5" t="s">
        <v>28</v>
      </c>
      <c r="J12">
        <v>17</v>
      </c>
      <c r="K12" t="s">
        <v>130</v>
      </c>
      <c r="L12" t="str">
        <f t="shared" si="1"/>
        <v>17 JUN</v>
      </c>
      <c r="M12" t="s">
        <v>136</v>
      </c>
    </row>
    <row r="13" spans="1:13" x14ac:dyDescent="0.15">
      <c r="A13" s="8" t="s">
        <v>63</v>
      </c>
      <c r="B13" s="8" t="s">
        <v>30</v>
      </c>
      <c r="C13" s="8" t="s">
        <v>49</v>
      </c>
      <c r="D13" s="5" t="str">
        <f t="shared" si="0"/>
        <v>Adidas Sneakers</v>
      </c>
      <c r="E13" s="11">
        <v>90</v>
      </c>
      <c r="F13" s="5" t="b">
        <f>ISBLANK(E13)</f>
        <v>0</v>
      </c>
      <c r="G13" s="5">
        <f>IF(ISBLANK(E13),AVERAGE(E13:E46),E13)</f>
        <v>90</v>
      </c>
      <c r="H13" s="8">
        <v>40</v>
      </c>
      <c r="I13" s="8" t="s">
        <v>32</v>
      </c>
      <c r="J13">
        <v>25</v>
      </c>
      <c r="K13" t="s">
        <v>137</v>
      </c>
      <c r="L13" t="str">
        <f t="shared" si="1"/>
        <v>25 NOV</v>
      </c>
      <c r="M13" t="s">
        <v>138</v>
      </c>
    </row>
    <row r="14" spans="1:13" x14ac:dyDescent="0.15">
      <c r="A14" s="5" t="s">
        <v>64</v>
      </c>
      <c r="B14" s="5" t="s">
        <v>34</v>
      </c>
      <c r="C14" s="5" t="s">
        <v>65</v>
      </c>
      <c r="D14" s="5" t="str">
        <f t="shared" si="0"/>
        <v>Nespresso Coffee Maker</v>
      </c>
      <c r="E14" s="10">
        <v>120</v>
      </c>
      <c r="F14" s="5" t="b">
        <f>ISBLANK(E14)</f>
        <v>0</v>
      </c>
      <c r="G14" s="5">
        <f>IF(ISBLANK(E14),AVERAGE(E14:E47),E14)</f>
        <v>120</v>
      </c>
      <c r="H14" s="5">
        <v>35</v>
      </c>
      <c r="I14" s="5" t="s">
        <v>36</v>
      </c>
      <c r="J14">
        <v>8</v>
      </c>
      <c r="K14" t="s">
        <v>139</v>
      </c>
      <c r="L14" t="str">
        <f t="shared" si="1"/>
        <v>8 DEC</v>
      </c>
      <c r="M14" t="s">
        <v>140</v>
      </c>
    </row>
    <row r="15" spans="1:13" x14ac:dyDescent="0.15">
      <c r="A15" s="8" t="s">
        <v>66</v>
      </c>
      <c r="B15" s="8" t="s">
        <v>122</v>
      </c>
      <c r="C15" s="8" t="s">
        <v>68</v>
      </c>
      <c r="D15" s="5" t="str">
        <f t="shared" si="0"/>
        <v>Fitbit Smart Watch</v>
      </c>
      <c r="E15" s="11">
        <v>150</v>
      </c>
      <c r="F15" s="5" t="b">
        <f>ISBLANK(E15)</f>
        <v>0</v>
      </c>
      <c r="G15" s="5">
        <f>IF(ISBLANK(E15),AVERAGE(E15:E48),E15)</f>
        <v>150</v>
      </c>
      <c r="H15" s="8">
        <v>15</v>
      </c>
      <c r="I15" s="8" t="s">
        <v>28</v>
      </c>
      <c r="J15">
        <v>18</v>
      </c>
      <c r="K15" t="s">
        <v>126</v>
      </c>
      <c r="L15" t="str">
        <f t="shared" si="1"/>
        <v>18 FEB</v>
      </c>
      <c r="M15" t="s">
        <v>141</v>
      </c>
    </row>
    <row r="16" spans="1:13" x14ac:dyDescent="0.15">
      <c r="A16" s="5" t="s">
        <v>69</v>
      </c>
      <c r="B16" s="5" t="s">
        <v>121</v>
      </c>
      <c r="C16" s="5" t="s">
        <v>71</v>
      </c>
      <c r="D16" s="5" t="str">
        <f t="shared" si="0"/>
        <v>Bose Head Phones</v>
      </c>
      <c r="E16" s="10">
        <v>250</v>
      </c>
      <c r="F16" s="5" t="b">
        <f>ISBLANK(E16)</f>
        <v>0</v>
      </c>
      <c r="G16" s="5">
        <f>IF(ISBLANK(E16),AVERAGE(E16:E49),E16)</f>
        <v>250</v>
      </c>
      <c r="H16" s="5">
        <v>20</v>
      </c>
      <c r="I16" s="5" t="s">
        <v>28</v>
      </c>
      <c r="J16">
        <v>16</v>
      </c>
      <c r="K16" t="s">
        <v>128</v>
      </c>
      <c r="L16" t="str">
        <f t="shared" si="1"/>
        <v>16 APR</v>
      </c>
      <c r="M16" t="s">
        <v>142</v>
      </c>
    </row>
    <row r="17" spans="1:13" x14ac:dyDescent="0.15">
      <c r="A17" s="8" t="s">
        <v>72</v>
      </c>
      <c r="B17" s="8" t="s">
        <v>73</v>
      </c>
      <c r="C17" s="8" t="s">
        <v>74</v>
      </c>
      <c r="D17" s="5" t="str">
        <f t="shared" si="0"/>
        <v>Samsonite Laptop Bag</v>
      </c>
      <c r="E17" s="11">
        <v>50</v>
      </c>
      <c r="F17" s="5" t="b">
        <f>ISBLANK(E17)</f>
        <v>0</v>
      </c>
      <c r="G17" s="5">
        <f>IF(ISBLANK(E17),AVERAGE(E17:E50),E17)</f>
        <v>50</v>
      </c>
      <c r="H17" s="8">
        <v>35</v>
      </c>
      <c r="I17" s="8" t="s">
        <v>75</v>
      </c>
      <c r="J17">
        <v>21</v>
      </c>
      <c r="K17" t="s">
        <v>133</v>
      </c>
      <c r="L17" t="str">
        <f t="shared" si="1"/>
        <v>21 AUG</v>
      </c>
      <c r="M17" t="s">
        <v>141</v>
      </c>
    </row>
    <row r="18" spans="1:13" x14ac:dyDescent="0.15">
      <c r="A18" s="5" t="s">
        <v>76</v>
      </c>
      <c r="B18" s="5" t="s">
        <v>122</v>
      </c>
      <c r="C18" s="5" t="s">
        <v>77</v>
      </c>
      <c r="D18" s="5" t="str">
        <f t="shared" si="0"/>
        <v>Huawei Smart Watch</v>
      </c>
      <c r="E18" s="10">
        <v>160</v>
      </c>
      <c r="F18" s="5" t="b">
        <f>ISBLANK(E18)</f>
        <v>0</v>
      </c>
      <c r="G18" s="5">
        <f>IF(ISBLANK(E18),AVERAGE(E18:E51),E18)</f>
        <v>160</v>
      </c>
      <c r="H18" s="5">
        <v>15</v>
      </c>
      <c r="I18" s="5" t="s">
        <v>28</v>
      </c>
      <c r="J18">
        <v>20</v>
      </c>
      <c r="K18" t="s">
        <v>133</v>
      </c>
      <c r="L18" t="str">
        <f t="shared" si="1"/>
        <v>20 AUG</v>
      </c>
      <c r="M18" t="s">
        <v>143</v>
      </c>
    </row>
    <row r="19" spans="1:13" x14ac:dyDescent="0.15">
      <c r="A19" s="8" t="s">
        <v>78</v>
      </c>
      <c r="B19" s="8" t="s">
        <v>61</v>
      </c>
      <c r="C19" s="8" t="s">
        <v>79</v>
      </c>
      <c r="D19" s="5" t="str">
        <f t="shared" si="0"/>
        <v>Asus Laptop</v>
      </c>
      <c r="E19" s="11">
        <v>980</v>
      </c>
      <c r="F19" s="5" t="b">
        <f>ISBLANK(E19)</f>
        <v>0</v>
      </c>
      <c r="G19" s="5">
        <f>IF(ISBLANK(E19),AVERAGE(E19:E52),E19)</f>
        <v>980</v>
      </c>
      <c r="H19" s="8">
        <v>10</v>
      </c>
      <c r="I19" s="8" t="s">
        <v>28</v>
      </c>
      <c r="J19">
        <v>27</v>
      </c>
      <c r="K19" t="s">
        <v>124</v>
      </c>
      <c r="L19" t="str">
        <f t="shared" si="1"/>
        <v>27 JAN</v>
      </c>
      <c r="M19" t="s">
        <v>144</v>
      </c>
    </row>
    <row r="20" spans="1:13" x14ac:dyDescent="0.15">
      <c r="A20" s="5" t="s">
        <v>80</v>
      </c>
      <c r="B20" s="5" t="s">
        <v>123</v>
      </c>
      <c r="C20" s="5" t="s">
        <v>82</v>
      </c>
      <c r="D20" s="5" t="str">
        <f t="shared" si="0"/>
        <v>Oakley Sun Glasses</v>
      </c>
      <c r="E20" s="10">
        <v>150</v>
      </c>
      <c r="F20" s="5" t="b">
        <f>ISBLANK(E20)</f>
        <v>0</v>
      </c>
      <c r="G20" s="5">
        <f>IF(ISBLANK(E20),AVERAGE(E20:E53),E20)</f>
        <v>150</v>
      </c>
      <c r="H20" s="5">
        <v>15</v>
      </c>
      <c r="I20" s="5" t="s">
        <v>32</v>
      </c>
      <c r="J20">
        <v>1</v>
      </c>
      <c r="K20" t="s">
        <v>127</v>
      </c>
      <c r="L20" t="str">
        <f t="shared" si="1"/>
        <v>1 MAR</v>
      </c>
      <c r="M20" t="s">
        <v>131</v>
      </c>
    </row>
    <row r="21" spans="1:13" x14ac:dyDescent="0.15">
      <c r="A21" s="8" t="s">
        <v>83</v>
      </c>
      <c r="B21" s="8" t="s">
        <v>84</v>
      </c>
      <c r="C21" s="8" t="s">
        <v>85</v>
      </c>
      <c r="D21" s="5" t="str">
        <f t="shared" si="0"/>
        <v>Coleman Camping Tent</v>
      </c>
      <c r="E21" s="11"/>
      <c r="F21" s="5" t="b">
        <f>ISBLANK(E21)</f>
        <v>1</v>
      </c>
      <c r="G21" s="5">
        <f>IF(ISBLANK(E21),AVERAGE(E21:E54),E21)</f>
        <v>228.45454545454547</v>
      </c>
      <c r="H21" s="8">
        <v>10</v>
      </c>
      <c r="I21" s="8" t="s">
        <v>59</v>
      </c>
      <c r="J21">
        <v>14</v>
      </c>
      <c r="K21" t="s">
        <v>133</v>
      </c>
      <c r="L21" t="str">
        <f t="shared" si="1"/>
        <v>14 AUG</v>
      </c>
      <c r="M21" t="s">
        <v>125</v>
      </c>
    </row>
    <row r="22" spans="1:13" x14ac:dyDescent="0.15">
      <c r="A22" s="5" t="s">
        <v>86</v>
      </c>
      <c r="B22" s="5" t="s">
        <v>87</v>
      </c>
      <c r="C22" s="5" t="s">
        <v>88</v>
      </c>
      <c r="D22" s="5" t="str">
        <f t="shared" si="0"/>
        <v>Nikon Camera</v>
      </c>
      <c r="E22" s="10">
        <v>700</v>
      </c>
      <c r="F22" s="5" t="b">
        <f>ISBLANK(E22)</f>
        <v>0</v>
      </c>
      <c r="G22" s="5">
        <f>IF(ISBLANK(E22),AVERAGE(E22:E55),E22)</f>
        <v>700</v>
      </c>
      <c r="H22" s="5">
        <v>50</v>
      </c>
      <c r="I22" s="5" t="s">
        <v>28</v>
      </c>
      <c r="J22">
        <v>14</v>
      </c>
      <c r="K22" t="s">
        <v>129</v>
      </c>
      <c r="L22" t="str">
        <f t="shared" si="1"/>
        <v>14 MAY</v>
      </c>
      <c r="M22" t="s">
        <v>145</v>
      </c>
    </row>
    <row r="23" spans="1:13" x14ac:dyDescent="0.15">
      <c r="A23" s="8" t="s">
        <v>89</v>
      </c>
      <c r="B23" s="8" t="s">
        <v>90</v>
      </c>
      <c r="C23" s="8" t="s">
        <v>91</v>
      </c>
      <c r="D23" s="5" t="str">
        <f t="shared" si="0"/>
        <v>Panasonic Microwave</v>
      </c>
      <c r="E23" s="11">
        <v>80</v>
      </c>
      <c r="F23" s="5" t="b">
        <f>ISBLANK(E23)</f>
        <v>0</v>
      </c>
      <c r="G23" s="5">
        <f>IF(ISBLANK(E23),AVERAGE(E23:E56),E23)</f>
        <v>80</v>
      </c>
      <c r="H23" s="8">
        <v>20</v>
      </c>
      <c r="I23" s="8" t="s">
        <v>36</v>
      </c>
      <c r="J23">
        <v>9</v>
      </c>
      <c r="K23" t="s">
        <v>124</v>
      </c>
      <c r="L23" t="str">
        <f t="shared" si="1"/>
        <v>9 JAN</v>
      </c>
      <c r="M23" t="s">
        <v>141</v>
      </c>
    </row>
    <row r="24" spans="1:13" x14ac:dyDescent="0.15">
      <c r="A24" s="5" t="s">
        <v>92</v>
      </c>
      <c r="B24" s="5" t="s">
        <v>93</v>
      </c>
      <c r="C24" s="5" t="s">
        <v>94</v>
      </c>
      <c r="D24" s="5" t="str">
        <f t="shared" si="0"/>
        <v>Xiaomi Fitness Tracker</v>
      </c>
      <c r="E24" s="10">
        <v>150</v>
      </c>
      <c r="F24" s="5" t="b">
        <f>ISBLANK(E24)</f>
        <v>0</v>
      </c>
      <c r="G24" s="5">
        <f>IF(ISBLANK(E24),AVERAGE(E24:E57),E24)</f>
        <v>150</v>
      </c>
      <c r="H24" s="5">
        <v>30</v>
      </c>
      <c r="I24" s="5" t="s">
        <v>28</v>
      </c>
      <c r="J24">
        <v>19</v>
      </c>
      <c r="K24" t="s">
        <v>132</v>
      </c>
      <c r="L24" t="str">
        <f t="shared" si="1"/>
        <v>19 JUL</v>
      </c>
      <c r="M24" t="s">
        <v>146</v>
      </c>
    </row>
    <row r="25" spans="1:13" x14ac:dyDescent="0.15">
      <c r="A25" s="5" t="s">
        <v>95</v>
      </c>
      <c r="B25" s="5" t="s">
        <v>120</v>
      </c>
      <c r="C25" s="5" t="s">
        <v>97</v>
      </c>
      <c r="D25" s="5" t="str">
        <f t="shared" si="0"/>
        <v>Google Smart Phone</v>
      </c>
      <c r="E25" s="10">
        <v>800</v>
      </c>
      <c r="F25" s="5" t="b">
        <f>ISBLANK(E25)</f>
        <v>0</v>
      </c>
      <c r="G25" s="5">
        <f>IF(ISBLANK(E25),AVERAGE(E25:E58),E25)</f>
        <v>800</v>
      </c>
      <c r="H25" s="5">
        <v>45</v>
      </c>
      <c r="I25" s="5" t="s">
        <v>28</v>
      </c>
      <c r="J25">
        <v>29</v>
      </c>
      <c r="K25" t="s">
        <v>134</v>
      </c>
      <c r="L25" t="str">
        <f t="shared" si="1"/>
        <v>29 SEP</v>
      </c>
      <c r="M25" t="s">
        <v>141</v>
      </c>
    </row>
    <row r="26" spans="1:13" x14ac:dyDescent="0.15">
      <c r="A26" s="8" t="s">
        <v>98</v>
      </c>
      <c r="B26" s="8" t="s">
        <v>123</v>
      </c>
      <c r="C26" s="8" t="s">
        <v>99</v>
      </c>
      <c r="D26" s="5" t="str">
        <f t="shared" si="0"/>
        <v>Ray-Ban Sun Glasses</v>
      </c>
      <c r="E26" s="11"/>
      <c r="F26" s="5" t="b">
        <f>ISBLANK(E26)</f>
        <v>1</v>
      </c>
      <c r="G26" s="5">
        <f>IF(ISBLANK(E26),AVERAGE(E26:E59),E26)</f>
        <v>111.85714285714286</v>
      </c>
      <c r="H26" s="8">
        <v>25</v>
      </c>
      <c r="I26" s="8" t="s">
        <v>32</v>
      </c>
      <c r="J26">
        <v>3</v>
      </c>
      <c r="K26" t="s">
        <v>130</v>
      </c>
      <c r="L26" t="str">
        <f t="shared" si="1"/>
        <v>3 JUN</v>
      </c>
      <c r="M26" t="s">
        <v>141</v>
      </c>
    </row>
    <row r="27" spans="1:13" x14ac:dyDescent="0.15">
      <c r="A27" s="5" t="s">
        <v>100</v>
      </c>
      <c r="B27" s="5" t="s">
        <v>51</v>
      </c>
      <c r="C27" s="5" t="s">
        <v>101</v>
      </c>
      <c r="D27" s="5" t="str">
        <f t="shared" si="0"/>
        <v>Vitamix Blender</v>
      </c>
      <c r="E27" s="10">
        <v>400</v>
      </c>
      <c r="F27" s="5" t="b">
        <f>ISBLANK(E27)</f>
        <v>0</v>
      </c>
      <c r="G27" s="5">
        <f>IF(ISBLANK(E27),AVERAGE(E27:E60),E27)</f>
        <v>400</v>
      </c>
      <c r="H27" s="5">
        <v>40</v>
      </c>
      <c r="I27" s="5" t="s">
        <v>36</v>
      </c>
      <c r="J27">
        <v>11</v>
      </c>
      <c r="K27" t="s">
        <v>132</v>
      </c>
      <c r="L27" t="str">
        <f t="shared" si="1"/>
        <v>11 JUL</v>
      </c>
      <c r="M27" t="s">
        <v>141</v>
      </c>
    </row>
    <row r="28" spans="1:13" x14ac:dyDescent="0.15">
      <c r="A28" s="5" t="s">
        <v>102</v>
      </c>
      <c r="B28" s="5" t="s">
        <v>103</v>
      </c>
      <c r="C28" s="5" t="s">
        <v>104</v>
      </c>
      <c r="D28" s="5" t="str">
        <f t="shared" si="0"/>
        <v>Zara Dress</v>
      </c>
      <c r="E28" s="10">
        <v>60</v>
      </c>
      <c r="F28" s="5" t="b">
        <f>ISBLANK(E28)</f>
        <v>0</v>
      </c>
      <c r="G28" s="5">
        <f>IF(ISBLANK(E28),AVERAGE(E28:E61),E28)</f>
        <v>60</v>
      </c>
      <c r="H28" s="5">
        <v>30</v>
      </c>
      <c r="I28" s="5" t="s">
        <v>32</v>
      </c>
      <c r="J28">
        <v>7</v>
      </c>
      <c r="K28" t="s">
        <v>127</v>
      </c>
      <c r="L28" t="str">
        <f t="shared" si="1"/>
        <v>7 MAR</v>
      </c>
      <c r="M28" t="s">
        <v>141</v>
      </c>
    </row>
    <row r="29" spans="1:13" x14ac:dyDescent="0.15">
      <c r="A29" s="8" t="s">
        <v>105</v>
      </c>
      <c r="B29" s="8" t="s">
        <v>106</v>
      </c>
      <c r="C29" s="8" t="s">
        <v>107</v>
      </c>
      <c r="D29" s="5" t="str">
        <f t="shared" si="0"/>
        <v>Hamilton Toaster</v>
      </c>
      <c r="E29" s="11">
        <v>40</v>
      </c>
      <c r="F29" s="5" t="b">
        <f>ISBLANK(E29)</f>
        <v>0</v>
      </c>
      <c r="G29" s="5">
        <f>IF(ISBLANK(E29),AVERAGE(E29:E62),E29)</f>
        <v>40</v>
      </c>
      <c r="H29" s="8">
        <v>10</v>
      </c>
      <c r="I29" s="8" t="s">
        <v>36</v>
      </c>
      <c r="J29">
        <v>13</v>
      </c>
      <c r="K29" t="s">
        <v>128</v>
      </c>
      <c r="L29" t="str">
        <f t="shared" si="1"/>
        <v>13 APR</v>
      </c>
      <c r="M29" t="s">
        <v>141</v>
      </c>
    </row>
    <row r="30" spans="1:13" x14ac:dyDescent="0.15">
      <c r="A30" s="5" t="s">
        <v>108</v>
      </c>
      <c r="B30" s="5" t="s">
        <v>93</v>
      </c>
      <c r="C30" s="5" t="s">
        <v>109</v>
      </c>
      <c r="D30" s="5" t="str">
        <f t="shared" si="0"/>
        <v>Garmin Fitness Tracker</v>
      </c>
      <c r="E30" s="10">
        <v>130</v>
      </c>
      <c r="F30" s="5" t="b">
        <f>ISBLANK(E30)</f>
        <v>0</v>
      </c>
      <c r="G30" s="5">
        <f>IF(ISBLANK(E30),AVERAGE(E30:E63),E30)</f>
        <v>130</v>
      </c>
      <c r="H30" s="5">
        <v>5</v>
      </c>
      <c r="I30" s="5" t="s">
        <v>28</v>
      </c>
      <c r="J30">
        <v>24</v>
      </c>
      <c r="K30" t="s">
        <v>129</v>
      </c>
      <c r="L30" t="str">
        <f t="shared" si="1"/>
        <v>24 MAY</v>
      </c>
      <c r="M30" t="s">
        <v>141</v>
      </c>
    </row>
    <row r="31" spans="1:13" x14ac:dyDescent="0.15">
      <c r="A31" s="8" t="s">
        <v>110</v>
      </c>
      <c r="B31" s="8" t="s">
        <v>111</v>
      </c>
      <c r="C31" s="8" t="s">
        <v>112</v>
      </c>
      <c r="D31" s="5" t="str">
        <f t="shared" si="0"/>
        <v>Levi's Jeans</v>
      </c>
      <c r="E31" s="11">
        <v>50</v>
      </c>
      <c r="F31" s="5" t="b">
        <f>ISBLANK(E31)</f>
        <v>0</v>
      </c>
      <c r="G31" s="5">
        <f>IF(ISBLANK(E31),AVERAGE(E31:E64),E31)</f>
        <v>50</v>
      </c>
      <c r="H31" s="8">
        <v>50</v>
      </c>
      <c r="I31" s="8" t="s">
        <v>32</v>
      </c>
      <c r="J31">
        <v>2</v>
      </c>
      <c r="K31" t="s">
        <v>139</v>
      </c>
      <c r="L31" t="str">
        <f t="shared" si="1"/>
        <v>2 DEC</v>
      </c>
      <c r="M31" t="s">
        <v>141</v>
      </c>
    </row>
    <row r="32" spans="1:13" x14ac:dyDescent="0.15">
      <c r="A32" s="8" t="s">
        <v>113</v>
      </c>
      <c r="B32" s="8" t="s">
        <v>114</v>
      </c>
      <c r="C32" s="8" t="s">
        <v>115</v>
      </c>
      <c r="D32" s="5" t="str">
        <f t="shared" si="0"/>
        <v>Casio Watch</v>
      </c>
      <c r="E32" s="11">
        <v>100</v>
      </c>
      <c r="F32" s="5" t="b">
        <f>ISBLANK(E32)</f>
        <v>0</v>
      </c>
      <c r="G32" s="5">
        <f>IF(ISBLANK(E32),AVERAGE(E32:E65),E32)</f>
        <v>100</v>
      </c>
      <c r="H32" s="8">
        <v>20</v>
      </c>
      <c r="I32" s="8" t="s">
        <v>75</v>
      </c>
      <c r="J32">
        <v>9</v>
      </c>
      <c r="K32" t="s">
        <v>132</v>
      </c>
      <c r="L32" t="str">
        <f t="shared" si="1"/>
        <v>9 JUL</v>
      </c>
      <c r="M32" t="s">
        <v>147</v>
      </c>
    </row>
    <row r="33" spans="2:5" x14ac:dyDescent="0.15">
      <c r="B33" s="5" t="s">
        <v>118</v>
      </c>
      <c r="E33" s="12">
        <f>COUNTBLANK(E1:E32)</f>
        <v>3</v>
      </c>
    </row>
  </sheetData>
  <conditionalFormatting sqref="E1:E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{EDCED64A-F5A1-B54B-94F9-6E6D7292114B}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CED64A-F5A1-B54B-94F9-6E6D72921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smruthi sinjith</cp:lastModifiedBy>
  <dcterms:modified xsi:type="dcterms:W3CDTF">2026-10-22T14:00:12Z</dcterms:modified>
</cp:coreProperties>
</file>